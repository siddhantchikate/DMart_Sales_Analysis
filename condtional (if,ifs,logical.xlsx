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ebe243d3ac746e/Desktop/Dmart_sales_analysis/"/>
    </mc:Choice>
  </mc:AlternateContent>
  <xr:revisionPtr revIDLastSave="15" documentId="8_{0B035715-87DF-4AAD-957F-9A1F88BA7AD8}" xr6:coauthVersionLast="47" xr6:coauthVersionMax="47" xr10:uidLastSave="{E7D34FA7-FD1F-4CDD-B186-4D252B6FABE5}"/>
  <bookViews>
    <workbookView xWindow="-108" yWindow="-108" windowWidth="23256" windowHeight="12456" xr2:uid="{0CA0669F-5B2A-4576-8E77-FDEAA39EF5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" l="1"/>
  <c r="O3" i="1"/>
  <c r="O5" i="1"/>
  <c r="O6" i="1"/>
  <c r="O7" i="1"/>
  <c r="O8" i="1"/>
  <c r="I3" i="1"/>
  <c r="M3" i="1"/>
  <c r="L3" i="1"/>
  <c r="N4" i="1" a="1"/>
  <c r="N4" i="1" s="1"/>
  <c r="N3" i="1" a="1"/>
  <c r="N3" i="1" s="1"/>
  <c r="N5" i="1" a="1"/>
  <c r="N5" i="1" s="1"/>
  <c r="N6" i="1" a="1"/>
  <c r="N6" i="1" s="1"/>
  <c r="N7" i="1" a="1"/>
  <c r="N7" i="1"/>
  <c r="N8" i="1" a="1"/>
  <c r="N8" i="1" s="1"/>
  <c r="K3" i="1"/>
  <c r="L4" i="1"/>
  <c r="L5" i="1"/>
  <c r="L6" i="1"/>
  <c r="L7" i="1"/>
  <c r="L8" i="1"/>
  <c r="M4" i="1"/>
  <c r="M5" i="1"/>
  <c r="M6" i="1"/>
  <c r="M7" i="1"/>
  <c r="M8" i="1"/>
  <c r="K5" i="1"/>
  <c r="K6" i="1"/>
  <c r="K7" i="1"/>
  <c r="K8" i="1"/>
  <c r="K4" i="1"/>
  <c r="J6" i="1" a="1"/>
  <c r="J6" i="1" s="1"/>
  <c r="J4" i="1" a="1"/>
  <c r="J4" i="1" s="1"/>
  <c r="J5" i="1" a="1"/>
  <c r="J5" i="1" s="1"/>
  <c r="I4" i="1"/>
  <c r="I5" i="1"/>
  <c r="H6" i="1"/>
  <c r="I6" i="1" s="1"/>
  <c r="H7" i="1"/>
  <c r="I7" i="1" s="1"/>
  <c r="H8" i="1"/>
  <c r="I8" i="1" s="1"/>
  <c r="J8" i="1" l="1" a="1"/>
  <c r="J8" i="1" s="1"/>
  <c r="J7" i="1" a="1"/>
  <c r="J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<sst xmlns="http://schemas.openxmlformats.org/spreadsheetml/2006/main" count="19" uniqueCount="19">
  <si>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Name</t>
  </si>
  <si>
    <t xml:space="preserve">Siddhant chikate </t>
  </si>
  <si>
    <t xml:space="preserve"> Omkar Bhagude </t>
  </si>
  <si>
    <t xml:space="preserve"> Mansi Kale</t>
  </si>
  <si>
    <t xml:space="preserve"> Aditya Birajdar </t>
  </si>
  <si>
    <t xml:space="preserve"> Rushikesh Jadhav </t>
  </si>
  <si>
    <t xml:space="preserve"> Rohit Kekan</t>
  </si>
  <si>
    <t>Marathi</t>
  </si>
  <si>
    <t>English</t>
  </si>
  <si>
    <t xml:space="preserve">Science </t>
  </si>
  <si>
    <t>Total</t>
  </si>
  <si>
    <t>Roll No</t>
  </si>
  <si>
    <t>Remark</t>
  </si>
  <si>
    <t>Ifs</t>
  </si>
  <si>
    <t>And</t>
  </si>
  <si>
    <t>Or</t>
  </si>
  <si>
    <t>Not</t>
  </si>
  <si>
    <t>if error</t>
  </si>
  <si>
    <t>Nested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</si>
</sst>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8514AB-8F46-49A4-90E9-CF8E6FF92F72}" name="Table1" displayName="Table1" ref="C2:O8" totalsRowShown="0" headerRowDxfId="14" dataDxfId="13">
  <autoFilter ref="C2:O8" xr:uid="{658514AB-8F46-49A4-90E9-CF8E6FF92F72}"/>
  <tableColumns count="13">
    <tableColumn id="1" xr3:uid="{168CAAF9-AE00-4AC7-9FFE-5FCBB1BE8FD4}" name="Roll No" dataDxfId="12"/>
    <tableColumn id="2" xr3:uid="{49E91D08-700D-4B37-91B2-A3E21528861C}" name="Name" dataDxfId="11"/>
    <tableColumn id="3" xr3:uid="{1EE082AA-71FB-48D1-948B-059FDA52771B}" name="Marathi" dataDxfId="10"/>
    <tableColumn id="4" xr3:uid="{5457DD40-748B-44AB-BE9A-D1CB856E36EA}" name="English" dataDxfId="9"/>
    <tableColumn id="5" xr3:uid="{9DD98CDC-69AC-41D8-96E5-90BC44D2E2ED}" name="Science " dataDxfId="8"/>
    <tableColumn id="6" xr3:uid="{FDE6E507-93A9-4594-91B5-B6E7F77F2DCC}" name="Total" dataDxfId="7">
      <calculatedColumnFormula>E3+F3+G3</calculatedColumnFormula>
    </tableColumn>
    <tableColumn id="7" xr3:uid="{6452DE4F-54CB-46F4-9D67-C0C88D870F27}" name="Remark" dataDxfId="6">
      <calculatedColumnFormula>IF(H3&gt;200,"good","bad")</calculatedColumnFormula>
    </tableColumn>
    <tableColumn id="8" xr3:uid="{E4EAED23-2039-4A3A-96F1-841718101481}" name="Ifs" dataDxfId="5">
      <calculatedColumnFormula array="1">_xlfn.IFS(H3&lt;180,"Bad Marks",H3&lt;230,"Average Marks",H3&gt;250,"Good Marks")</calculatedColumnFormula>
    </tableColumn>
    <tableColumn id="9" xr3:uid="{0D1EE5E1-4B53-4F12-9FB3-28B194B88EC9}" name="And" dataDxfId="4">
      <calculatedColumnFormula>AND(G3&lt;100,F3&lt;100)</calculatedColumnFormula>
    </tableColumn>
    <tableColumn id="10" xr3:uid="{129B271A-F897-49F4-A8BD-0384B119AABD}" name="Or" dataDxfId="3">
      <calculatedColumnFormula>OR(G3&lt;250,Table1[[#This Row],[Name]]="Siddhant Chikate")</calculatedColumnFormula>
    </tableColumn>
    <tableColumn id="11" xr3:uid="{59F0665C-9192-49AA-B79D-FA68C92B0962}" name="Not" dataDxfId="2">
      <calculatedColumnFormula>NOT(AND(Table1[[#This Row],[Science ]]&lt;100,Table1[[#This Row],[English]]&lt;100))</calculatedColumnFormula>
    </tableColumn>
    <tableColumn id="12" xr3:uid="{86183AE1-597D-4BE3-8AA1-757501D678F4}" name="if error" dataDxfId="1">
      <calculatedColumnFormula array="1">IFERROR(_xlfn.IFS(G3&gt;100,"good marks",F3&gt;50,"average marks"),"something is wrong")</calculatedColumnFormula>
    </tableColumn>
    <tableColumn id="13" xr3:uid="{4311DBA3-C280-4FA8-938D-785909BE3B51}" name="Nested if" dataDxfId="0">
      <calculatedColumnFormula>IF(Table1[[#This Row],[Science ]]&gt;50,"good ",IF(Table1[[#This Row],[Science ]]&gt;50,))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05EB8-995F-41B4-8B7D-6B90CFBC9819}">
  <dimension ref="C2:O8"/>
  <sheetViews>
    <sheetView tabSelected="1" topLeftCell="G1" zoomScale="152" zoomScaleNormal="175" workbookViewId="0">
      <selection activeCell="J3" sqref="J3"/>
    </sheetView>
  </sheetViews>
  <sheetFormatPr defaultRowHeight="14.4" x14ac:dyDescent="0.3"/>
  <cols>
    <col min="4" max="4" width="19.6640625" customWidth="1"/>
    <col min="5" max="5" width="12.109375" customWidth="1"/>
    <col min="6" max="6" width="14.5546875" customWidth="1"/>
    <col min="7" max="7" width="12.109375" customWidth="1"/>
    <col min="8" max="8" width="13" customWidth="1"/>
    <col min="9" max="9" width="13.44140625" customWidth="1"/>
    <col min="10" max="10" width="25.21875" customWidth="1"/>
    <col min="11" max="12" width="8.88671875" customWidth="1"/>
    <col min="13" max="13" width="8.5546875" customWidth="1"/>
    <col min="14" max="14" width="17.109375" bestFit="1" customWidth="1"/>
    <col min="15" max="15" width="12.88671875" bestFit="1" customWidth="1"/>
  </cols>
  <sheetData>
    <row r="2" spans="3:15" x14ac:dyDescent="0.3">
      <c r="C2" s="1" t="s">
        <v>11</v>
      </c>
      <c r="D2" s="1" t="s">
        <v>0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</row>
    <row r="3" spans="3:15" x14ac:dyDescent="0.3">
      <c r="C3" s="2">
        <v>1</v>
      </c>
      <c r="D3" s="2" t="s">
        <v>1</v>
      </c>
      <c r="E3" s="2">
        <v>78</v>
      </c>
      <c r="F3" s="2">
        <v>99</v>
      </c>
      <c r="G3" s="2">
        <v>67</v>
      </c>
      <c r="H3" s="2">
        <v>280</v>
      </c>
      <c r="I3" s="2" t="str">
        <f>IF(H3&gt;200,"good","bad")</f>
        <v>good</v>
      </c>
      <c r="J3" s="2"/>
      <c r="K3" s="2" t="b">
        <f>AND(G3&lt;100,F3&lt;100)</f>
        <v>1</v>
      </c>
      <c r="L3" s="2" t="b">
        <f>OR(G3&lt;250,Table1[[#This Row],[Name]]="Siddhant Chikate")</f>
        <v>1</v>
      </c>
      <c r="M3" s="3" t="b">
        <f>NOT(AND(Table1[[#This Row],[Science ]]&lt;100,Table1[[#This Row],[English]]&lt;100))</f>
        <v>0</v>
      </c>
      <c r="N3" s="3" t="str" cm="1">
        <f t="array" ref="N3">IFERROR(_xlfn.IFS(G3&gt;100,"good marks",F3&gt;50,"average marks"),"something is wrong")</f>
        <v>average marks</v>
      </c>
      <c r="O3" s="3" t="str">
        <f>IF(Table1[[#This Row],[Science ]]&gt;50,"good ",IF(Table1[[#This Row],[Science ]]&gt;50,))</f>
        <v xml:space="preserve">good </v>
      </c>
    </row>
    <row r="4" spans="3:15" x14ac:dyDescent="0.3">
      <c r="C4" s="2">
        <v>2</v>
      </c>
      <c r="D4" s="2" t="s">
        <v>2</v>
      </c>
      <c r="E4" s="2">
        <v>87</v>
      </c>
      <c r="F4" s="2">
        <v>76</v>
      </c>
      <c r="G4" s="2">
        <v>51</v>
      </c>
      <c r="H4" s="2">
        <v>256</v>
      </c>
      <c r="I4" s="2" t="str">
        <f t="shared" ref="I4:I8" si="0">IF(H4&gt;200,"good","bad")</f>
        <v>good</v>
      </c>
      <c r="J4" s="2" t="str" cm="1">
        <f t="array" ref="J4">_xlfn.IFS(H4&lt;180,"Bad Marks",H4&lt;230,"Average Marks",H4&gt;250,"Good Marks")</f>
        <v>Good Marks</v>
      </c>
      <c r="K4" s="2" t="b">
        <f t="shared" ref="K4:K8" si="1">AND(G4&lt;100,F4&lt;100)</f>
        <v>1</v>
      </c>
      <c r="L4" s="2" t="b">
        <f>OR(G4&lt;250,Table1[[#This Row],[Name]]="Siddhant Chikate")</f>
        <v>1</v>
      </c>
      <c r="M4" s="3" t="b">
        <f>NOT(AND(Table1[[#This Row],[Science ]]&lt;100,Table1[[#This Row],[English]]&lt;100))</f>
        <v>0</v>
      </c>
      <c r="N4" s="3" t="str" cm="1">
        <f t="array" ref="N4">IFERROR(_xlfn.IFS(G4&gt;100,"good marks",F4&gt;50,"average marks"),"something is wrong")</f>
        <v>average marks</v>
      </c>
      <c r="O4" s="3" t="str">
        <f>IF(Table1[[#This Row],[Science ]]&gt;50,"good ",IF(Table1[[#This Row],[Science ]]&gt;50,))</f>
        <v xml:space="preserve">good </v>
      </c>
    </row>
    <row r="5" spans="3:15" x14ac:dyDescent="0.3">
      <c r="C5" s="2">
        <v>3</v>
      </c>
      <c r="D5" s="2" t="s">
        <v>3</v>
      </c>
      <c r="E5" s="2">
        <v>65</v>
      </c>
      <c r="F5" s="2">
        <v>98</v>
      </c>
      <c r="G5" s="2">
        <v>87</v>
      </c>
      <c r="H5" s="2">
        <v>267</v>
      </c>
      <c r="I5" s="2" t="str">
        <f t="shared" si="0"/>
        <v>good</v>
      </c>
      <c r="J5" s="2" t="str" cm="1">
        <f t="array" ref="J5">_xlfn.IFS(H5&lt;180,"Bad Marks",H5&lt;230,"Average Marks",H5&gt;250,"Good Marks")</f>
        <v>Good Marks</v>
      </c>
      <c r="K5" s="2" t="b">
        <f t="shared" si="1"/>
        <v>1</v>
      </c>
      <c r="L5" s="2" t="b">
        <f>OR(G5&lt;250,Table1[[#This Row],[Name]]="Siddhant Chikate")</f>
        <v>1</v>
      </c>
      <c r="M5" s="3" t="b">
        <f>NOT(AND(Table1[[#This Row],[Science ]]&lt;100,Table1[[#This Row],[English]]&lt;100))</f>
        <v>0</v>
      </c>
      <c r="N5" s="3" t="str" cm="1">
        <f t="array" ref="N5">IFERROR(_xlfn.IFS(G5&gt;100,"good marks",F5&gt;50,"average marks"),"something is wrong")</f>
        <v>average marks</v>
      </c>
      <c r="O5" s="3" t="str">
        <f>IF(Table1[[#This Row],[Science ]]&gt;50,"good ",IF(Table1[[#This Row],[Science ]]&gt;50,))</f>
        <v xml:space="preserve">good </v>
      </c>
    </row>
    <row r="6" spans="3:15" x14ac:dyDescent="0.3">
      <c r="C6" s="2">
        <v>4</v>
      </c>
      <c r="D6" s="2" t="s">
        <v>4</v>
      </c>
      <c r="E6" s="2">
        <v>45</v>
      </c>
      <c r="F6" s="2">
        <v>45</v>
      </c>
      <c r="G6" s="2">
        <v>77</v>
      </c>
      <c r="H6" s="2">
        <f t="shared" ref="H6:H8" si="2">E6+F6+G6</f>
        <v>167</v>
      </c>
      <c r="I6" s="2" t="str">
        <f t="shared" si="0"/>
        <v>bad</v>
      </c>
      <c r="J6" s="2" t="str" cm="1">
        <f t="array" ref="J6">_xlfn.IFS(H6&lt;180,"Bad Marks",H6&lt;230,"Average Marks",H6&gt;250,"Good Marks")</f>
        <v>Bad Marks</v>
      </c>
      <c r="K6" s="2" t="b">
        <f t="shared" si="1"/>
        <v>1</v>
      </c>
      <c r="L6" s="2" t="b">
        <f>OR(G6&lt;250,Table1[[#This Row],[Name]]="Siddhant Chikate")</f>
        <v>1</v>
      </c>
      <c r="M6" s="3" t="b">
        <f>NOT(AND(Table1[[#This Row],[Science ]]&lt;100,Table1[[#This Row],[English]]&lt;100))</f>
        <v>0</v>
      </c>
      <c r="N6" s="3" t="str" cm="1">
        <f t="array" ref="N6">IFERROR(_xlfn.IFS(G6&gt;100,"good marks",F6&gt;50,"average marks"),"something is wrong")</f>
        <v>something is wrong</v>
      </c>
      <c r="O6" s="3" t="str">
        <f>IF(Table1[[#This Row],[Science ]]&gt;50,"good ",IF(Table1[[#This Row],[Science ]]&gt;50,))</f>
        <v xml:space="preserve">good </v>
      </c>
    </row>
    <row r="7" spans="3:15" x14ac:dyDescent="0.3">
      <c r="C7" s="2">
        <v>5</v>
      </c>
      <c r="D7" s="2" t="s">
        <v>5</v>
      </c>
      <c r="E7" s="2">
        <v>67</v>
      </c>
      <c r="F7" s="2">
        <v>67</v>
      </c>
      <c r="G7" s="2">
        <v>67</v>
      </c>
      <c r="H7" s="2">
        <f t="shared" si="2"/>
        <v>201</v>
      </c>
      <c r="I7" s="2" t="str">
        <f t="shared" si="0"/>
        <v>good</v>
      </c>
      <c r="J7" s="2" t="str" cm="1">
        <f t="array" ref="J7">_xlfn.IFS(H7&lt;180,"Bad Marks",H7&lt;230,"Average Marks",H7&gt;250,"Good Marks")</f>
        <v>Average Marks</v>
      </c>
      <c r="K7" s="2" t="b">
        <f t="shared" si="1"/>
        <v>1</v>
      </c>
      <c r="L7" s="2" t="b">
        <f>OR(G7&lt;250,Table1[[#This Row],[Name]]="Siddhant Chikate")</f>
        <v>1</v>
      </c>
      <c r="M7" s="3" t="b">
        <f>NOT(AND(Table1[[#This Row],[Science ]]&lt;100,Table1[[#This Row],[English]]&lt;100))</f>
        <v>0</v>
      </c>
      <c r="N7" s="3" t="str" cm="1">
        <f t="array" ref="N7">IFERROR(_xlfn.IFS(G7&gt;100,"good marks",F7&gt;50,"average marks"),"something is wrong")</f>
        <v>average marks</v>
      </c>
      <c r="O7" s="3" t="str">
        <f>IF(Table1[[#This Row],[Science ]]&gt;50,"good ",IF(Table1[[#This Row],[Science ]]&gt;50,))</f>
        <v xml:space="preserve">good </v>
      </c>
    </row>
    <row r="8" spans="3:15" x14ac:dyDescent="0.3">
      <c r="C8" s="2">
        <v>6</v>
      </c>
      <c r="D8" s="2" t="s">
        <v>6</v>
      </c>
      <c r="E8" s="2">
        <v>56</v>
      </c>
      <c r="F8" s="2">
        <v>87</v>
      </c>
      <c r="G8" s="2">
        <v>58</v>
      </c>
      <c r="H8" s="2">
        <f t="shared" si="2"/>
        <v>201</v>
      </c>
      <c r="I8" s="2" t="str">
        <f t="shared" si="0"/>
        <v>good</v>
      </c>
      <c r="J8" s="2" t="str" cm="1">
        <f t="array" ref="J8">_xlfn.IFS(H8&lt;180,"Bad Marks",H8&lt;230,"Average Marks",H8&gt;250,"Good Marks")</f>
        <v>Average Marks</v>
      </c>
      <c r="K8" s="2" t="b">
        <f t="shared" si="1"/>
        <v>1</v>
      </c>
      <c r="L8" s="2" t="b">
        <f>OR(G8&lt;250,Table1[[#This Row],[Name]]="Siddhant Chikate")</f>
        <v>1</v>
      </c>
      <c r="M8" s="3" t="b">
        <f>NOT(AND(Table1[[#This Row],[Science ]]&lt;100,Table1[[#This Row],[English]]&lt;100))</f>
        <v>0</v>
      </c>
      <c r="N8" s="3" t="str" cm="1">
        <f t="array" ref="N8">IFERROR(_xlfn.IFS(G8&gt;100,"good marks",F8&gt;50,"average marks"),"something is wrong")</f>
        <v>average marks</v>
      </c>
      <c r="O8" s="3" t="str">
        <f>IF(Table1[[#This Row],[Science ]]&gt;50,"good ",IF(Table1[[#This Row],[Science ]]&gt;50,))</f>
        <v xml:space="preserve">good 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maruti chikate</dc:creator>
  <cp:lastModifiedBy>siddhant maruti chikate</cp:lastModifiedBy>
  <dcterms:created xsi:type="dcterms:W3CDTF">2026-07-03T05:57:05Z</dcterms:created>
  <dcterms:modified xsi:type="dcterms:W3CDTF">2026-07-08T06:20:10Z</dcterms:modified>
</cp:coreProperties>
</file>